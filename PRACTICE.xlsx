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a9f946d07c9823/Desktop/EXCEL PRACTICE/"/>
    </mc:Choice>
  </mc:AlternateContent>
  <xr:revisionPtr revIDLastSave="138" documentId="8_{F843A856-71D1-4363-BA8C-7E342E9E8D87}" xr6:coauthVersionLast="47" xr6:coauthVersionMax="47" xr10:uidLastSave="{3F41ABB6-6E30-49A3-B927-7204FBAB3B93}"/>
  <bookViews>
    <workbookView xWindow="-108" yWindow="-108" windowWidth="23256" windowHeight="13896" xr2:uid="{A96F025F-07EB-4DE3-B238-184E55358F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6" i="1" l="1"/>
  <c r="V7" i="1"/>
  <c r="V8" i="1"/>
  <c r="V5" i="1"/>
  <c r="U6" i="1"/>
  <c r="U7" i="1"/>
  <c r="U8" i="1"/>
  <c r="U5" i="1"/>
  <c r="T6" i="1"/>
  <c r="T7" i="1"/>
  <c r="T8" i="1"/>
  <c r="T5" i="1"/>
  <c r="S8" i="1"/>
  <c r="S7" i="1"/>
  <c r="S6" i="1"/>
  <c r="S5" i="1"/>
  <c r="U22" i="1"/>
  <c r="U24" i="1"/>
  <c r="U25" i="1"/>
  <c r="U26" i="1"/>
  <c r="U27" i="1"/>
  <c r="U28" i="1"/>
  <c r="U29" i="1"/>
  <c r="U30" i="1"/>
  <c r="U23" i="1"/>
  <c r="U21" i="1" a="1"/>
  <c r="O9" i="1"/>
  <c r="O4" i="1"/>
  <c r="T22" i="1"/>
  <c r="T23" i="1"/>
  <c r="T24" i="1"/>
  <c r="T25" i="1"/>
  <c r="T26" i="1"/>
  <c r="T27" i="1"/>
  <c r="T28" i="1"/>
  <c r="T29" i="1"/>
  <c r="T30" i="1"/>
  <c r="T21" i="1"/>
  <c r="R22" i="1"/>
  <c r="R23" i="1"/>
  <c r="R24" i="1"/>
  <c r="R25" i="1"/>
  <c r="R26" i="1"/>
  <c r="R27" i="1"/>
  <c r="R28" i="1"/>
  <c r="R29" i="1"/>
  <c r="R30" i="1"/>
  <c r="R21" i="1"/>
  <c r="P22" i="1"/>
  <c r="P23" i="1"/>
  <c r="P24" i="1"/>
  <c r="P25" i="1"/>
  <c r="P26" i="1"/>
  <c r="P27" i="1"/>
  <c r="P28" i="1"/>
  <c r="P29" i="1"/>
  <c r="P30" i="1"/>
  <c r="P21" i="1"/>
  <c r="O22" i="1"/>
  <c r="O23" i="1"/>
  <c r="O24" i="1"/>
  <c r="O25" i="1"/>
  <c r="O26" i="1"/>
  <c r="O27" i="1"/>
  <c r="O28" i="1"/>
  <c r="O29" i="1"/>
  <c r="O30" i="1"/>
  <c r="O21" i="1"/>
  <c r="I3" i="1"/>
  <c r="I4" i="1"/>
  <c r="I5" i="1"/>
  <c r="I6" i="1"/>
  <c r="I7" i="1"/>
  <c r="I8" i="1"/>
  <c r="I9" i="1"/>
  <c r="I10" i="1"/>
  <c r="I11" i="1"/>
  <c r="I2" i="1"/>
  <c r="A31" i="1"/>
  <c r="G24" i="1" s="1"/>
  <c r="O10" i="1"/>
  <c r="O8" i="1"/>
  <c r="O7" i="1"/>
  <c r="O6" i="1"/>
  <c r="H11" i="1"/>
  <c r="H3" i="1"/>
  <c r="H4" i="1"/>
  <c r="H5" i="1"/>
  <c r="H6" i="1"/>
  <c r="H7" i="1"/>
  <c r="H8" i="1"/>
  <c r="H9" i="1"/>
  <c r="H10" i="1"/>
  <c r="H2" i="1"/>
  <c r="G8" i="1"/>
  <c r="G9" i="1"/>
  <c r="G10" i="1"/>
  <c r="G11" i="1"/>
  <c r="G7" i="1"/>
  <c r="G3" i="1"/>
  <c r="G4" i="1"/>
  <c r="G5" i="1"/>
  <c r="G6" i="1"/>
  <c r="G2" i="1"/>
  <c r="F3" i="1"/>
  <c r="F4" i="1"/>
  <c r="F5" i="1"/>
  <c r="F6" i="1"/>
  <c r="F7" i="1"/>
  <c r="F8" i="1"/>
  <c r="F9" i="1"/>
  <c r="F10" i="1"/>
  <c r="F11" i="1"/>
  <c r="F2" i="1"/>
  <c r="E5" i="1"/>
  <c r="E6" i="1"/>
  <c r="E7" i="1"/>
  <c r="E8" i="1"/>
  <c r="E9" i="1"/>
  <c r="E10" i="1"/>
  <c r="E2" i="1"/>
  <c r="G22" i="1" l="1"/>
  <c r="G23" i="1"/>
  <c r="G20" i="1"/>
  <c r="G21" i="1"/>
  <c r="E4" i="1"/>
  <c r="E11" i="1"/>
  <c r="D3" i="1"/>
  <c r="E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3" i="1"/>
  <c r="C2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<sst xmlns="http://schemas.openxmlformats.org/spreadsheetml/2006/main" count="36" uniqueCount="30">
  <si>
    <t>A</t>
  </si>
  <si>
    <t>B</t>
  </si>
  <si>
    <t>ADDTION</t>
  </si>
  <si>
    <t>SUBTRACTION</t>
  </si>
  <si>
    <t>PRODUCT</t>
  </si>
  <si>
    <t>DIVISION</t>
  </si>
  <si>
    <t>EXPONENTIAL</t>
  </si>
  <si>
    <t>POWER</t>
  </si>
  <si>
    <t>AGGREGATED FUNCTIONS</t>
  </si>
  <si>
    <t>SUM</t>
  </si>
  <si>
    <t>AVERAGE</t>
  </si>
  <si>
    <t>COUNT</t>
  </si>
  <si>
    <t>MINIMUM</t>
  </si>
  <si>
    <t>MAXIMUM</t>
  </si>
  <si>
    <t>MULTIPLICATION</t>
  </si>
  <si>
    <t>LOGICAL FUNCTIONS</t>
  </si>
  <si>
    <t>RESULT</t>
  </si>
  <si>
    <t>ELIGIBLITY</t>
  </si>
  <si>
    <t>OR</t>
  </si>
  <si>
    <t>IFNOT</t>
  </si>
  <si>
    <t>NESTED IF</t>
  </si>
  <si>
    <t>price</t>
  </si>
  <si>
    <t>quantity</t>
  </si>
  <si>
    <t>total amount</t>
  </si>
  <si>
    <t>LOG</t>
  </si>
  <si>
    <t>A and B</t>
  </si>
  <si>
    <t>Aor B</t>
  </si>
  <si>
    <t>NOT(a)</t>
  </si>
  <si>
    <t>NOT(And B)</t>
  </si>
  <si>
    <t>LOGIC GATES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</si>
</sst>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4"/>
      <color theme="8" tint="-0.249977111117893"/>
      <name val="Aptos Narrow"/>
      <family val="2"/>
      <scheme val="minor"/>
    </font>
    <font>
      <b/>
      <sz val="16"/>
      <color theme="8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/>
    <xf numFmtId="0" fontId="1" fillId="0" borderId="3" xfId="0" applyFont="1" applyBorder="1"/>
    <xf numFmtId="0" fontId="0" fillId="0" borderId="5" xfId="0" applyBorder="1"/>
    <xf numFmtId="0" fontId="1" fillId="0" borderId="2" xfId="0" applyFont="1" applyBorder="1"/>
    <xf numFmtId="0" fontId="1" fillId="0" borderId="4" xfId="0" applyFont="1" applyBorder="1"/>
    <xf numFmtId="0" fontId="2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0" xfId="0" applyFont="1"/>
    <xf numFmtId="0" fontId="5" fillId="0" borderId="0" xfId="0" applyFont="1"/>
    <xf numFmtId="0" fontId="3" fillId="0" borderId="7" xfId="0" applyFont="1" applyBorder="1"/>
    <xf numFmtId="0" fontId="3" fillId="0" borderId="8" xfId="0" applyFont="1" applyBorder="1"/>
    <xf numFmtId="0" fontId="0" fillId="0" borderId="0" xfId="0" applyBorder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EAB4-A852-46D1-9E3A-8641EFBF6AFC}">
  <dimension ref="A1:V31"/>
  <sheetViews>
    <sheetView tabSelected="1" zoomScale="88" zoomScaleNormal="88" workbookViewId="0">
      <selection activeCell="V14" sqref="V14"/>
    </sheetView>
  </sheetViews>
  <sheetFormatPr defaultRowHeight="14.4" x14ac:dyDescent="0.3"/>
  <cols>
    <col min="4" max="4" width="12.6640625" bestFit="1" customWidth="1"/>
    <col min="7" max="7" width="12.44140625" bestFit="1" customWidth="1"/>
    <col min="9" max="9" width="15.109375" bestFit="1" customWidth="1"/>
    <col min="16" max="16" width="12" bestFit="1" customWidth="1"/>
    <col min="18" max="18" width="12" bestFit="1" customWidth="1"/>
  </cols>
  <sheetData>
    <row r="1" spans="1:22" ht="15" thickBot="1" x14ac:dyDescent="0.35">
      <c r="A1" s="4" t="s">
        <v>0</v>
      </c>
      <c r="B1" s="4" t="s">
        <v>1</v>
      </c>
      <c r="C1" s="5" t="s">
        <v>2</v>
      </c>
      <c r="D1" s="7" t="s">
        <v>3</v>
      </c>
      <c r="E1" s="8" t="s">
        <v>4</v>
      </c>
      <c r="F1" s="4" t="s">
        <v>5</v>
      </c>
      <c r="G1" s="4" t="s">
        <v>6</v>
      </c>
      <c r="H1" s="4" t="s">
        <v>7</v>
      </c>
      <c r="I1" s="4" t="s">
        <v>14</v>
      </c>
      <c r="J1" s="1"/>
    </row>
    <row r="2" spans="1:22" ht="21.6" thickBot="1" x14ac:dyDescent="0.45">
      <c r="A2" s="1">
        <v>26</v>
      </c>
      <c r="B2" s="1">
        <v>34</v>
      </c>
      <c r="C2" s="1">
        <f>A2+B2</f>
        <v>60</v>
      </c>
      <c r="D2" s="6">
        <f>A2-B2</f>
        <v>-8</v>
      </c>
      <c r="E2" s="1">
        <f>PRODUCT(A2,B2)</f>
        <v>884</v>
      </c>
      <c r="F2" s="1">
        <f>A2/B2</f>
        <v>0.76470588235294112</v>
      </c>
      <c r="G2" s="1">
        <f>A2^3</f>
        <v>17576</v>
      </c>
      <c r="H2" s="1">
        <f>POWER(B2,4)</f>
        <v>1336336</v>
      </c>
      <c r="I2" s="1">
        <f>A2*B2</f>
        <v>884</v>
      </c>
      <c r="J2" s="1"/>
      <c r="O2" s="23" t="s">
        <v>24</v>
      </c>
      <c r="T2" s="24" t="s">
        <v>29</v>
      </c>
    </row>
    <row r="3" spans="1:22" ht="15" thickBot="1" x14ac:dyDescent="0.35">
      <c r="A3" s="1">
        <v>20</v>
      </c>
      <c r="B3" s="1">
        <v>90</v>
      </c>
      <c r="C3" s="1">
        <f t="shared" ref="C3:C11" si="0">A3+B3</f>
        <v>110</v>
      </c>
      <c r="D3" s="1">
        <f t="shared" ref="D3:D11" si="1">A3-B3</f>
        <v>-70</v>
      </c>
      <c r="E3" s="1">
        <f t="shared" ref="E3:E11" si="2">PRODUCT(A3,B3)</f>
        <v>1800</v>
      </c>
      <c r="F3" s="1">
        <f t="shared" ref="F3:F11" si="3">A3/B3</f>
        <v>0.22222222222222221</v>
      </c>
      <c r="G3" s="1">
        <f t="shared" ref="G3:G6" si="4">A3^3</f>
        <v>8000</v>
      </c>
      <c r="H3" s="1">
        <f t="shared" ref="H3:H10" si="5">POWER(B3,4)</f>
        <v>65610000</v>
      </c>
      <c r="I3" s="1">
        <f t="shared" ref="I3:I11" si="6">A3*B3</f>
        <v>1800</v>
      </c>
      <c r="J3" s="2"/>
      <c r="K3" s="3"/>
    </row>
    <row r="4" spans="1:22" x14ac:dyDescent="0.3">
      <c r="A4" s="1">
        <v>34</v>
      </c>
      <c r="B4" s="1">
        <v>72</v>
      </c>
      <c r="C4" s="1">
        <f t="shared" si="0"/>
        <v>106</v>
      </c>
      <c r="D4" s="1">
        <f t="shared" si="1"/>
        <v>-38</v>
      </c>
      <c r="E4" s="1">
        <f t="shared" si="2"/>
        <v>2448</v>
      </c>
      <c r="F4" s="1">
        <f t="shared" si="3"/>
        <v>0.47222222222222221</v>
      </c>
      <c r="G4" s="1">
        <f t="shared" si="4"/>
        <v>39304</v>
      </c>
      <c r="H4" s="1">
        <f t="shared" si="5"/>
        <v>26873856</v>
      </c>
      <c r="I4" s="1">
        <f t="shared" si="6"/>
        <v>2448</v>
      </c>
      <c r="J4" s="1"/>
      <c r="O4">
        <f>LOG(2000,10)</f>
        <v>3.3010299956639808</v>
      </c>
      <c r="Q4" s="10" t="s">
        <v>0</v>
      </c>
      <c r="R4" s="11" t="s">
        <v>1</v>
      </c>
      <c r="S4" s="11" t="s">
        <v>25</v>
      </c>
      <c r="T4" s="11" t="s">
        <v>26</v>
      </c>
      <c r="U4" s="11" t="s">
        <v>27</v>
      </c>
      <c r="V4" s="12" t="s">
        <v>28</v>
      </c>
    </row>
    <row r="5" spans="1:22" x14ac:dyDescent="0.3">
      <c r="A5" s="1">
        <v>34</v>
      </c>
      <c r="B5" s="1">
        <v>34</v>
      </c>
      <c r="C5" s="1">
        <f t="shared" si="0"/>
        <v>68</v>
      </c>
      <c r="D5" s="1">
        <f t="shared" si="1"/>
        <v>0</v>
      </c>
      <c r="E5" s="1">
        <f t="shared" si="2"/>
        <v>1156</v>
      </c>
      <c r="F5" s="1">
        <f t="shared" si="3"/>
        <v>1</v>
      </c>
      <c r="G5" s="1">
        <f t="shared" si="4"/>
        <v>39304</v>
      </c>
      <c r="H5" s="1">
        <f t="shared" si="5"/>
        <v>1336336</v>
      </c>
      <c r="I5" s="1">
        <f t="shared" si="6"/>
        <v>1156</v>
      </c>
      <c r="J5" s="1"/>
      <c r="Q5" s="13">
        <v>0</v>
      </c>
      <c r="R5" s="22">
        <v>0</v>
      </c>
      <c r="S5" s="22" t="b">
        <f>AND(Q5,R5)</f>
        <v>0</v>
      </c>
      <c r="T5" s="22" t="b">
        <f>OR(Q5,R5)</f>
        <v>0</v>
      </c>
      <c r="U5" s="22" t="b">
        <f>NOT(Q5)</f>
        <v>1</v>
      </c>
      <c r="V5" s="14" t="b">
        <f>NOT(T5)</f>
        <v>1</v>
      </c>
    </row>
    <row r="6" spans="1:22" x14ac:dyDescent="0.3">
      <c r="A6" s="1">
        <v>52</v>
      </c>
      <c r="B6" s="1">
        <v>44</v>
      </c>
      <c r="C6" s="1">
        <f t="shared" si="0"/>
        <v>96</v>
      </c>
      <c r="D6" s="1">
        <f t="shared" si="1"/>
        <v>8</v>
      </c>
      <c r="E6" s="1">
        <f t="shared" si="2"/>
        <v>2288</v>
      </c>
      <c r="F6" s="1">
        <f t="shared" si="3"/>
        <v>1.1818181818181819</v>
      </c>
      <c r="G6" s="1">
        <f t="shared" si="4"/>
        <v>140608</v>
      </c>
      <c r="H6" s="1">
        <f t="shared" si="5"/>
        <v>3748096</v>
      </c>
      <c r="I6" s="1">
        <f t="shared" si="6"/>
        <v>2288</v>
      </c>
      <c r="J6" s="1"/>
      <c r="O6">
        <f>LOG10(50)</f>
        <v>1.6989700043360187</v>
      </c>
      <c r="Q6" s="13">
        <v>0</v>
      </c>
      <c r="R6" s="22">
        <v>1</v>
      </c>
      <c r="S6" s="22" t="b">
        <f>AND(Q6,R6)</f>
        <v>0</v>
      </c>
      <c r="T6" s="22" t="b">
        <f t="shared" ref="T6:T8" si="7">OR(Q6,R6)</f>
        <v>1</v>
      </c>
      <c r="U6" s="22" t="b">
        <f t="shared" ref="U6:U8" si="8">NOT(Q6)</f>
        <v>1</v>
      </c>
      <c r="V6" s="14" t="b">
        <f t="shared" ref="V6:V8" si="9">NOT(T6)</f>
        <v>0</v>
      </c>
    </row>
    <row r="7" spans="1:22" x14ac:dyDescent="0.3">
      <c r="A7" s="1">
        <v>68</v>
      </c>
      <c r="B7" s="1">
        <v>72</v>
      </c>
      <c r="C7" s="1">
        <f t="shared" si="0"/>
        <v>140</v>
      </c>
      <c r="D7" s="1">
        <f t="shared" si="1"/>
        <v>-4</v>
      </c>
      <c r="E7" s="1">
        <f t="shared" si="2"/>
        <v>4896</v>
      </c>
      <c r="F7" s="1">
        <f t="shared" si="3"/>
        <v>0.94444444444444442</v>
      </c>
      <c r="G7" s="1">
        <f>A7^4</f>
        <v>21381376</v>
      </c>
      <c r="H7" s="1">
        <f t="shared" si="5"/>
        <v>26873856</v>
      </c>
      <c r="I7" s="1">
        <f t="shared" si="6"/>
        <v>4896</v>
      </c>
      <c r="J7" s="1"/>
      <c r="O7">
        <f>LN(100)</f>
        <v>4.6051701859880918</v>
      </c>
      <c r="Q7" s="13">
        <v>1</v>
      </c>
      <c r="R7" s="22">
        <v>0</v>
      </c>
      <c r="S7" s="22" t="b">
        <f>AND(Q7,R7)</f>
        <v>0</v>
      </c>
      <c r="T7" s="22" t="b">
        <f t="shared" si="7"/>
        <v>1</v>
      </c>
      <c r="U7" s="22" t="b">
        <f t="shared" si="8"/>
        <v>0</v>
      </c>
      <c r="V7" s="14" t="b">
        <f t="shared" si="9"/>
        <v>0</v>
      </c>
    </row>
    <row r="8" spans="1:22" x14ac:dyDescent="0.3">
      <c r="A8" s="1">
        <v>52</v>
      </c>
      <c r="B8" s="1">
        <v>79</v>
      </c>
      <c r="C8" s="1">
        <f t="shared" si="0"/>
        <v>131</v>
      </c>
      <c r="D8" s="1">
        <f t="shared" si="1"/>
        <v>-27</v>
      </c>
      <c r="E8" s="1">
        <f t="shared" si="2"/>
        <v>4108</v>
      </c>
      <c r="F8" s="1">
        <f t="shared" si="3"/>
        <v>0.65822784810126578</v>
      </c>
      <c r="G8" s="1">
        <f t="shared" ref="G8:G11" si="10">A8^4</f>
        <v>7311616</v>
      </c>
      <c r="H8" s="1">
        <f t="shared" si="5"/>
        <v>38950081</v>
      </c>
      <c r="I8" s="1">
        <f t="shared" si="6"/>
        <v>4108</v>
      </c>
      <c r="J8" s="1"/>
      <c r="O8">
        <f>LOG10(100)</f>
        <v>2</v>
      </c>
      <c r="Q8" s="13">
        <v>1</v>
      </c>
      <c r="R8" s="22">
        <v>1</v>
      </c>
      <c r="S8" s="22" t="b">
        <f>AND(Q8,R8)</f>
        <v>1</v>
      </c>
      <c r="T8" s="22" t="b">
        <f t="shared" si="7"/>
        <v>1</v>
      </c>
      <c r="U8" s="22" t="b">
        <f t="shared" si="8"/>
        <v>0</v>
      </c>
      <c r="V8" s="14" t="b">
        <f t="shared" si="9"/>
        <v>0</v>
      </c>
    </row>
    <row r="9" spans="1:22" ht="15" thickBot="1" x14ac:dyDescent="0.35">
      <c r="A9" s="1">
        <v>71</v>
      </c>
      <c r="B9" s="1">
        <v>57</v>
      </c>
      <c r="C9" s="1">
        <f t="shared" si="0"/>
        <v>128</v>
      </c>
      <c r="D9" s="1">
        <f t="shared" si="1"/>
        <v>14</v>
      </c>
      <c r="E9" s="1">
        <f t="shared" si="2"/>
        <v>4047</v>
      </c>
      <c r="F9" s="1">
        <f t="shared" si="3"/>
        <v>1.2456140350877194</v>
      </c>
      <c r="G9" s="1">
        <f t="shared" si="10"/>
        <v>25411681</v>
      </c>
      <c r="H9" s="1">
        <f t="shared" si="5"/>
        <v>10556001</v>
      </c>
      <c r="I9" s="1">
        <f t="shared" si="6"/>
        <v>4047</v>
      </c>
      <c r="J9" s="1"/>
      <c r="O9">
        <f>SQRT(U735)</f>
        <v>0</v>
      </c>
      <c r="Q9" s="15"/>
      <c r="R9" s="16"/>
      <c r="S9" s="16"/>
      <c r="T9" s="16"/>
      <c r="U9" s="16"/>
      <c r="V9" s="17"/>
    </row>
    <row r="10" spans="1:22" x14ac:dyDescent="0.3">
      <c r="A10" s="1">
        <v>50</v>
      </c>
      <c r="B10" s="1">
        <v>79</v>
      </c>
      <c r="C10" s="1">
        <f t="shared" si="0"/>
        <v>129</v>
      </c>
      <c r="D10" s="1">
        <f t="shared" si="1"/>
        <v>-29</v>
      </c>
      <c r="E10" s="1">
        <f t="shared" si="2"/>
        <v>3950</v>
      </c>
      <c r="F10" s="1">
        <f t="shared" si="3"/>
        <v>0.63291139240506333</v>
      </c>
      <c r="G10" s="1">
        <f t="shared" si="10"/>
        <v>6250000</v>
      </c>
      <c r="H10" s="1">
        <f t="shared" si="5"/>
        <v>38950081</v>
      </c>
      <c r="I10" s="1">
        <f t="shared" si="6"/>
        <v>3950</v>
      </c>
      <c r="J10" s="1"/>
      <c r="O10">
        <f>SQRTPI(35)</f>
        <v>10.485978393819185</v>
      </c>
    </row>
    <row r="11" spans="1:22" x14ac:dyDescent="0.3">
      <c r="A11" s="1">
        <v>25</v>
      </c>
      <c r="B11" s="1">
        <v>82</v>
      </c>
      <c r="C11" s="1">
        <f t="shared" si="0"/>
        <v>107</v>
      </c>
      <c r="D11" s="1">
        <f t="shared" si="1"/>
        <v>-57</v>
      </c>
      <c r="E11" s="1">
        <f t="shared" si="2"/>
        <v>2050</v>
      </c>
      <c r="F11" s="1">
        <f t="shared" si="3"/>
        <v>0.3048780487804878</v>
      </c>
      <c r="G11" s="1">
        <f t="shared" si="10"/>
        <v>390625</v>
      </c>
      <c r="H11" s="1">
        <f>POWER(B11,4)</f>
        <v>45212176</v>
      </c>
      <c r="I11" s="1">
        <f t="shared" si="6"/>
        <v>2050</v>
      </c>
      <c r="J11" s="1"/>
    </row>
    <row r="12" spans="1:2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4" spans="1:22" ht="15" thickBot="1" x14ac:dyDescent="0.35">
      <c r="T14" s="16"/>
    </row>
    <row r="16" spans="1:22" x14ac:dyDescent="0.3">
      <c r="P16" s="9"/>
      <c r="Q16" s="9"/>
    </row>
    <row r="17" spans="1:21" ht="21" x14ac:dyDescent="0.4">
      <c r="K17" s="9"/>
      <c r="L17" s="9"/>
      <c r="P17" s="19" t="s">
        <v>15</v>
      </c>
      <c r="Q17" s="9"/>
    </row>
    <row r="18" spans="1:21" ht="18" x14ac:dyDescent="0.35">
      <c r="D18" s="9"/>
      <c r="E18" s="18" t="s">
        <v>8</v>
      </c>
      <c r="F18" s="18"/>
      <c r="G18" s="18"/>
      <c r="K18" s="9"/>
      <c r="L18" s="9"/>
    </row>
    <row r="19" spans="1:21" ht="15" thickBot="1" x14ac:dyDescent="0.35"/>
    <row r="20" spans="1:21" x14ac:dyDescent="0.3">
      <c r="A20" t="s">
        <v>0</v>
      </c>
      <c r="E20" s="10" t="s">
        <v>9</v>
      </c>
      <c r="F20" s="11"/>
      <c r="G20" s="12">
        <f ca="1">SUM(A21:A31)</f>
        <v>461</v>
      </c>
      <c r="L20" s="10"/>
      <c r="M20" s="20" t="s">
        <v>0</v>
      </c>
      <c r="N20" s="20" t="s">
        <v>1</v>
      </c>
      <c r="O20" s="20" t="s">
        <v>16</v>
      </c>
      <c r="P20" s="20" t="s">
        <v>17</v>
      </c>
      <c r="Q20" s="20" t="s">
        <v>18</v>
      </c>
      <c r="R20" s="20" t="s">
        <v>18</v>
      </c>
      <c r="S20" s="20"/>
      <c r="T20" s="20" t="s">
        <v>19</v>
      </c>
      <c r="U20" s="21" t="s">
        <v>20</v>
      </c>
    </row>
    <row r="21" spans="1:21" x14ac:dyDescent="0.3">
      <c r="A21">
        <v>26</v>
      </c>
      <c r="E21" s="13" t="s">
        <v>10</v>
      </c>
      <c r="G21" s="14">
        <f ca="1">ROUND(AVERAGE(A21:A31),2)</f>
        <v>41.91</v>
      </c>
      <c r="L21" s="13"/>
      <c r="M21" s="22">
        <v>95</v>
      </c>
      <c r="N21" s="22">
        <v>34</v>
      </c>
      <c r="O21" s="22" t="str">
        <f>IF(M21&gt;50,"PASS","FAIL")</f>
        <v>PASS</v>
      </c>
      <c r="P21" s="22" t="str">
        <f>IF(AND(M21&gt;=50,N21&gt;=50),"ELIGIIBLE","NOT ELIGIBLE")</f>
        <v>NOT ELIGIBLE</v>
      </c>
      <c r="Q21" s="22"/>
      <c r="R21" s="22" t="str">
        <f>IF(OR(M21&gt;=50,N21&gt;=50),"ELIGIBLE","NOT ELIGIBLE")</f>
        <v>ELIGIBLE</v>
      </c>
      <c r="S21" s="22"/>
      <c r="T21" s="22" t="str">
        <f>IF(NOT(M21&gt;=50),"YES","NO")</f>
        <v>NO</v>
      </c>
      <c r="U21" s="14" t="str" cm="1">
        <f t="array" ref="U21">IF(M21&gt;=95,"grade A",I F(M21&lt;=75,"GRADE B",IF(M21&lt;=50,"GRADE C","GRADE F")))</f>
        <v>grade A</v>
      </c>
    </row>
    <row r="22" spans="1:21" x14ac:dyDescent="0.3">
      <c r="A22">
        <v>20</v>
      </c>
      <c r="E22" s="13" t="s">
        <v>11</v>
      </c>
      <c r="G22" s="14">
        <f ca="1">COUNT(A21:A31)</f>
        <v>11</v>
      </c>
      <c r="L22" s="13"/>
      <c r="M22" s="22">
        <v>20</v>
      </c>
      <c r="N22" s="22">
        <v>90</v>
      </c>
      <c r="O22" s="22" t="str">
        <f t="shared" ref="O22:O30" si="11">IF(M22&gt;50,"PASS","FAIL")</f>
        <v>FAIL</v>
      </c>
      <c r="P22" s="22" t="str">
        <f t="shared" ref="P22:P30" si="12">IF(AND(M22&gt;=50,N22&gt;=50),"ELIGIIBLE","NOT ELIGIBLE")</f>
        <v>NOT ELIGIBLE</v>
      </c>
      <c r="Q22" s="22"/>
      <c r="R22" s="22" t="str">
        <f t="shared" ref="R22:R30" si="13">IF(OR(M22&gt;=50,N22&gt;=50),"ELIGIBLE","NOT ELIGIBLE")</f>
        <v>ELIGIBLE</v>
      </c>
      <c r="S22" s="22"/>
      <c r="T22" s="22" t="str">
        <f t="shared" ref="T22:T30" si="14">IF(NOT(M22&gt;=50),"YES","NO")</f>
        <v>YES</v>
      </c>
      <c r="U22" s="14" t="str">
        <f>IF(M22&gt;=95,"grade A",IF(M22&lt;=75,"GRADE B",IF(M22&lt;=50,"GRADE C","GRADE F")))</f>
        <v>GRADE B</v>
      </c>
    </row>
    <row r="23" spans="1:21" x14ac:dyDescent="0.3">
      <c r="A23">
        <v>34</v>
      </c>
      <c r="E23" s="13" t="s">
        <v>12</v>
      </c>
      <c r="G23" s="14">
        <f ca="1">MIN(A21:A31)</f>
        <v>20</v>
      </c>
      <c r="L23" s="13"/>
      <c r="M23" s="22">
        <v>34</v>
      </c>
      <c r="N23" s="22">
        <v>72</v>
      </c>
      <c r="O23" s="22" t="str">
        <f t="shared" si="11"/>
        <v>FAIL</v>
      </c>
      <c r="P23" s="22" t="str">
        <f t="shared" si="12"/>
        <v>NOT ELIGIBLE</v>
      </c>
      <c r="Q23" s="22"/>
      <c r="R23" s="22" t="str">
        <f t="shared" si="13"/>
        <v>ELIGIBLE</v>
      </c>
      <c r="S23" s="22"/>
      <c r="T23" s="22" t="str">
        <f t="shared" si="14"/>
        <v>YES</v>
      </c>
      <c r="U23" s="14" t="str">
        <f>IF(M23&gt;=95,"grade A",IF(M23&gt;=75,"GRADE B",IF(M23&gt;=50,"GRADE C","GRADE F")))</f>
        <v>GRADE F</v>
      </c>
    </row>
    <row r="24" spans="1:21" x14ac:dyDescent="0.3">
      <c r="A24">
        <v>34</v>
      </c>
      <c r="E24" s="13" t="s">
        <v>13</v>
      </c>
      <c r="G24" s="14">
        <f ca="1">MAX(A21:A31)</f>
        <v>71</v>
      </c>
      <c r="L24" s="13"/>
      <c r="M24" s="22">
        <v>34</v>
      </c>
      <c r="N24" s="22">
        <v>34</v>
      </c>
      <c r="O24" s="22" t="str">
        <f t="shared" si="11"/>
        <v>FAIL</v>
      </c>
      <c r="P24" s="22" t="str">
        <f t="shared" si="12"/>
        <v>NOT ELIGIBLE</v>
      </c>
      <c r="Q24" s="22"/>
      <c r="R24" s="22" t="str">
        <f t="shared" si="13"/>
        <v>NOT ELIGIBLE</v>
      </c>
      <c r="S24" s="22"/>
      <c r="T24" s="22" t="str">
        <f t="shared" si="14"/>
        <v>YES</v>
      </c>
      <c r="U24" s="14" t="str">
        <f t="shared" ref="U24:U30" si="15">IF(M24&gt;=95,"grade A",IF(M24&gt;=75,"GRADE B",IF(M24&gt;=50,"GRADE C","GRADE F")))</f>
        <v>GRADE F</v>
      </c>
    </row>
    <row r="25" spans="1:21" ht="15" thickBot="1" x14ac:dyDescent="0.35">
      <c r="A25">
        <v>52</v>
      </c>
      <c r="E25" s="15"/>
      <c r="F25" s="16"/>
      <c r="G25" s="17"/>
      <c r="L25" s="13"/>
      <c r="M25" s="22">
        <v>52</v>
      </c>
      <c r="N25" s="22">
        <v>44</v>
      </c>
      <c r="O25" s="22" t="str">
        <f t="shared" si="11"/>
        <v>PASS</v>
      </c>
      <c r="P25" s="22" t="str">
        <f t="shared" si="12"/>
        <v>NOT ELIGIBLE</v>
      </c>
      <c r="Q25" s="22"/>
      <c r="R25" s="22" t="str">
        <f t="shared" si="13"/>
        <v>ELIGIBLE</v>
      </c>
      <c r="S25" s="22"/>
      <c r="T25" s="22" t="str">
        <f t="shared" si="14"/>
        <v>NO</v>
      </c>
      <c r="U25" s="14" t="str">
        <f t="shared" si="15"/>
        <v>GRADE C</v>
      </c>
    </row>
    <row r="26" spans="1:21" x14ac:dyDescent="0.3">
      <c r="A26">
        <v>68</v>
      </c>
      <c r="L26" s="13"/>
      <c r="M26" s="22">
        <v>68</v>
      </c>
      <c r="N26" s="22">
        <v>72</v>
      </c>
      <c r="O26" s="22" t="str">
        <f t="shared" si="11"/>
        <v>PASS</v>
      </c>
      <c r="P26" s="22" t="str">
        <f t="shared" si="12"/>
        <v>ELIGIIBLE</v>
      </c>
      <c r="Q26" s="22"/>
      <c r="R26" s="22" t="str">
        <f t="shared" si="13"/>
        <v>ELIGIBLE</v>
      </c>
      <c r="S26" s="22"/>
      <c r="T26" s="22" t="str">
        <f t="shared" si="14"/>
        <v>NO</v>
      </c>
      <c r="U26" s="14" t="str">
        <f t="shared" si="15"/>
        <v>GRADE C</v>
      </c>
    </row>
    <row r="27" spans="1:21" x14ac:dyDescent="0.3">
      <c r="A27">
        <v>52</v>
      </c>
      <c r="L27" s="13"/>
      <c r="M27" s="22">
        <v>52</v>
      </c>
      <c r="N27" s="22">
        <v>79</v>
      </c>
      <c r="O27" s="22" t="str">
        <f t="shared" si="11"/>
        <v>PASS</v>
      </c>
      <c r="P27" s="22" t="str">
        <f t="shared" si="12"/>
        <v>ELIGIIBLE</v>
      </c>
      <c r="Q27" s="22"/>
      <c r="R27" s="22" t="str">
        <f t="shared" si="13"/>
        <v>ELIGIBLE</v>
      </c>
      <c r="S27" s="22"/>
      <c r="T27" s="22" t="str">
        <f t="shared" si="14"/>
        <v>NO</v>
      </c>
      <c r="U27" s="14" t="str">
        <f t="shared" si="15"/>
        <v>GRADE C</v>
      </c>
    </row>
    <row r="28" spans="1:21" x14ac:dyDescent="0.3">
      <c r="A28">
        <v>71</v>
      </c>
      <c r="L28" s="13"/>
      <c r="M28" s="22">
        <v>71</v>
      </c>
      <c r="N28" s="22">
        <v>57</v>
      </c>
      <c r="O28" s="22" t="str">
        <f t="shared" si="11"/>
        <v>PASS</v>
      </c>
      <c r="P28" s="22" t="str">
        <f t="shared" si="12"/>
        <v>ELIGIIBLE</v>
      </c>
      <c r="Q28" s="22"/>
      <c r="R28" s="22" t="str">
        <f t="shared" si="13"/>
        <v>ELIGIBLE</v>
      </c>
      <c r="S28" s="22"/>
      <c r="T28" s="22" t="str">
        <f t="shared" si="14"/>
        <v>NO</v>
      </c>
      <c r="U28" s="14" t="str">
        <f t="shared" si="15"/>
        <v>GRADE C</v>
      </c>
    </row>
    <row r="29" spans="1:21" x14ac:dyDescent="0.3">
      <c r="A29">
        <v>50</v>
      </c>
      <c r="L29" s="13"/>
      <c r="M29" s="22">
        <v>50</v>
      </c>
      <c r="N29" s="22">
        <v>79</v>
      </c>
      <c r="O29" s="22" t="str">
        <f t="shared" si="11"/>
        <v>FAIL</v>
      </c>
      <c r="P29" s="22" t="str">
        <f t="shared" si="12"/>
        <v>ELIGIIBLE</v>
      </c>
      <c r="Q29" s="22"/>
      <c r="R29" s="22" t="str">
        <f t="shared" si="13"/>
        <v>ELIGIBLE</v>
      </c>
      <c r="S29" s="22"/>
      <c r="T29" s="22" t="str">
        <f t="shared" si="14"/>
        <v>NO</v>
      </c>
      <c r="U29" s="14" t="str">
        <f t="shared" si="15"/>
        <v>GRADE C</v>
      </c>
    </row>
    <row r="30" spans="1:21" ht="15" thickBot="1" x14ac:dyDescent="0.35">
      <c r="A30">
        <v>25</v>
      </c>
      <c r="L30" s="15"/>
      <c r="M30" s="16">
        <v>25</v>
      </c>
      <c r="N30" s="16">
        <v>82</v>
      </c>
      <c r="O30" s="16" t="str">
        <f t="shared" si="11"/>
        <v>FAIL</v>
      </c>
      <c r="P30" s="16" t="str">
        <f t="shared" si="12"/>
        <v>NOT ELIGIBLE</v>
      </c>
      <c r="Q30" s="16"/>
      <c r="R30" s="16" t="str">
        <f t="shared" si="13"/>
        <v>ELIGIBLE</v>
      </c>
      <c r="S30" s="16"/>
      <c r="T30" s="16" t="str">
        <f t="shared" si="14"/>
        <v>YES</v>
      </c>
      <c r="U30" s="17" t="str">
        <f t="shared" si="15"/>
        <v>GRADE F</v>
      </c>
    </row>
    <row r="31" spans="1:21" x14ac:dyDescent="0.3">
      <c r="A31">
        <f t="shared" ref="A31" ca="1" si="16">RANDBETWEEN(10,80)</f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D5E3-5398-4C8A-B65C-5C5945598EEA}">
  <dimension ref="A1:E1"/>
  <sheetViews>
    <sheetView workbookViewId="0">
      <selection activeCell="E1" sqref="E1"/>
    </sheetView>
  </sheetViews>
  <sheetFormatPr defaultRowHeight="14.4" x14ac:dyDescent="0.3"/>
  <sheetData>
    <row r="1" spans="1:5" x14ac:dyDescent="0.3">
      <c r="A1" t="s">
        <v>21</v>
      </c>
      <c r="B1" t="s">
        <v>22</v>
      </c>
      <c r="E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kabir</dc:creator>
  <cp:lastModifiedBy>priya kabir</cp:lastModifiedBy>
  <dcterms:created xsi:type="dcterms:W3CDTF">2026-10-27T06:17:00Z</dcterms:created>
  <dcterms:modified xsi:type="dcterms:W3CDTF">2026-10-29T11:44:28Z</dcterms:modified>
</cp:coreProperties>
</file>