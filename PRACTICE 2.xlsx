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a9f946d07c9823/Desktop/EXCEL PRACTICE/"/>
    </mc:Choice>
  </mc:AlternateContent>
  <xr:revisionPtr revIDLastSave="227" documentId="8_{D21EB5D1-3E46-4B69-A307-4C2A1288BA5F}" xr6:coauthVersionLast="47" xr6:coauthVersionMax="47" xr10:uidLastSave="{53F235B8-D614-4E94-8131-61DC73437B4D}"/>
  <bookViews>
    <workbookView xWindow="-108" yWindow="-108" windowWidth="23256" windowHeight="13896" xr2:uid="{C4F4807F-3CD8-4C04-9FCA-69CB1D5BA979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NEW_RANGE">Sheet1!$K$5:$K$10</definedName>
    <definedName name="PRODUCT">Sheet1!$A$2:$A$12</definedName>
    <definedName name="SALES_">Sheet1!$B$1</definedName>
    <definedName name="SALES_2025">Sheet1!$B$1</definedName>
    <definedName name="SALES_2026">Sheet1!$B$1:$B$10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2" i="3" l="1"/>
  <c r="C17" i="3"/>
  <c r="C5" i="3"/>
  <c r="C4" i="3"/>
  <c r="C13" i="3" s="1"/>
  <c r="K28" i="2"/>
  <c r="K27" i="2"/>
  <c r="K24" i="2"/>
  <c r="K25" i="2"/>
  <c r="K23" i="2"/>
  <c r="K21" i="2"/>
  <c r="K20" i="2"/>
  <c r="K19" i="2"/>
  <c r="K11" i="2"/>
  <c r="K10" i="2"/>
  <c r="K9" i="2"/>
  <c r="K8" i="2"/>
  <c r="K7" i="2"/>
  <c r="N8" i="1"/>
  <c r="C10" i="3" l="1"/>
  <c r="C11" i="3"/>
  <c r="C16" i="3"/>
  <c r="C9" i="3"/>
  <c r="F14" i="3"/>
  <c r="D14" i="3"/>
  <c r="E14" i="3"/>
  <c r="C14" i="3"/>
</calcChain>
</file>

<file path=xl/sharedStrings.xml><?xml version="1.0" encoding="utf-8"?>
<sst xmlns="http://schemas.openxmlformats.org/spreadsheetml/2006/main" count="106" uniqueCount="92">
  <si>
    <t>PRODUCT</t>
  </si>
  <si>
    <t>A</t>
  </si>
  <si>
    <t>B</t>
  </si>
  <si>
    <t>C</t>
  </si>
  <si>
    <t>STRING FUNCTIONS</t>
  </si>
  <si>
    <t xml:space="preserve">    PrIya  KaRThik</t>
  </si>
  <si>
    <t>len(text)</t>
  </si>
  <si>
    <t>retruns the length of a string including spaces</t>
  </si>
  <si>
    <t>trim (text)</t>
  </si>
  <si>
    <t>removes extra sapces except for single space b/w two words</t>
  </si>
  <si>
    <t>upper(text)</t>
  </si>
  <si>
    <t>converts text to upper case</t>
  </si>
  <si>
    <t>lower (text)</t>
  </si>
  <si>
    <t>convert s ointo lower case</t>
  </si>
  <si>
    <t>proper(text)</t>
  </si>
  <si>
    <t>capitalize the first letter of each woed</t>
  </si>
  <si>
    <t>ord</t>
  </si>
  <si>
    <r>
      <t xml:space="preserve">    </t>
    </r>
    <r>
      <rPr>
        <b/>
        <sz val="11"/>
        <color theme="6"/>
        <rFont val="Aptos Narrow"/>
        <family val="2"/>
        <scheme val="minor"/>
      </rPr>
      <t xml:space="preserve">  Result</t>
    </r>
  </si>
  <si>
    <t>STRING EXTRACTION FUNCTONS</t>
  </si>
  <si>
    <t>Krithik Aryan</t>
  </si>
  <si>
    <t>left()</t>
  </si>
  <si>
    <t xml:space="preserve">extract specified number of characters from the start </t>
  </si>
  <si>
    <t>right()</t>
  </si>
  <si>
    <t>extract specified number of characters from the end</t>
  </si>
  <si>
    <t>mid()</t>
  </si>
  <si>
    <t>extract a sub string from the middle</t>
  </si>
  <si>
    <t>result</t>
  </si>
  <si>
    <t>find()</t>
  </si>
  <si>
    <t>find the position of subsrinf Case sensitive</t>
  </si>
  <si>
    <t>find the position of subsrinf Case insensitive</t>
  </si>
  <si>
    <t>search()</t>
  </si>
  <si>
    <t>replace()</t>
  </si>
  <si>
    <t>Replaces old text into new text</t>
  </si>
  <si>
    <t>Add two strings</t>
  </si>
  <si>
    <t>susitute</t>
  </si>
  <si>
    <t>Concatenate</t>
  </si>
  <si>
    <t>DATE FUNCTIONS</t>
  </si>
  <si>
    <t>TODAY</t>
  </si>
  <si>
    <t>NOW</t>
  </si>
  <si>
    <t>GENERATE CURRENT DATE AND TIME</t>
  </si>
  <si>
    <t>EXTRACT DATE FUNCTIONS</t>
  </si>
  <si>
    <t>YEAR</t>
  </si>
  <si>
    <t>MONTH</t>
  </si>
  <si>
    <t>DAY</t>
  </si>
  <si>
    <t>WEEKDAY</t>
  </si>
  <si>
    <t>WEEK NUMBER</t>
  </si>
  <si>
    <t>TEXT</t>
  </si>
  <si>
    <t>DATEDIF</t>
  </si>
  <si>
    <t>SI.NO</t>
  </si>
  <si>
    <t>NAME</t>
  </si>
  <si>
    <t>ID</t>
  </si>
  <si>
    <t>Jhon smith</t>
  </si>
  <si>
    <t>sarah jenkins</t>
  </si>
  <si>
    <t>michael chang</t>
  </si>
  <si>
    <t>ID-2024-NY-Active</t>
  </si>
  <si>
    <t>ID-2025-CA-Pending</t>
  </si>
  <si>
    <t>ID-2026-TY-Active</t>
  </si>
  <si>
    <t>First Name</t>
  </si>
  <si>
    <t>City</t>
  </si>
  <si>
    <t>Email</t>
  </si>
  <si>
    <t>Jhon</t>
  </si>
  <si>
    <t>sarah</t>
  </si>
  <si>
    <t>michael</t>
  </si>
  <si>
    <t>NY</t>
  </si>
  <si>
    <t>CA</t>
  </si>
  <si>
    <t>TY</t>
  </si>
  <si>
    <t>s.jhon@company.com</t>
  </si>
  <si>
    <t>i.sarah@complany.com</t>
  </si>
  <si>
    <t>i.michael@complany.com</t>
  </si>
  <si>
    <t>chennai</t>
  </si>
  <si>
    <t>bangalore</t>
  </si>
  <si>
    <t>mumbai</t>
  </si>
  <si>
    <t>pune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</si>
  <si>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</si>
  <si>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</si>
  <si>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</si>
  <si>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</si>
  <si>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</si>
  <si>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</si>
  <si>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</si>
  <si>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</si>
  <si>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</si>
  <si>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</si>
  <si>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</si>
  <si>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</si>
  <si>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banglore</t>
  </si>
  <si>
    <t>CUSTOM LIST</t>
  </si>
  <si>
    <t>SYSTEM ALREADY HAS</t>
  </si>
  <si>
    <t>FLASH  FILL</t>
  </si>
  <si>
    <t>EDATE</t>
  </si>
  <si>
    <t>Basic sTring functions</t>
  </si>
  <si>
    <t>CREATING NAMED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</si>
</sst>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2"/>
      <color theme="8"/>
      <name val="Aptos Narrow"/>
      <family val="2"/>
      <scheme val="minor"/>
    </font>
    <font>
      <b/>
      <sz val="18"/>
      <color theme="8"/>
      <name val="Aptos Narrow"/>
      <family val="2"/>
      <scheme val="minor"/>
    </font>
    <font>
      <b/>
      <sz val="20"/>
      <color theme="8"/>
      <name val="Aptos Narrow"/>
      <family val="2"/>
      <scheme val="minor"/>
    </font>
    <font>
      <sz val="20"/>
      <color theme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2" borderId="0" xfId="0" applyFill="1"/>
    <xf numFmtId="14" fontId="0" fillId="0" borderId="0" xfId="0" applyNumberFormat="1"/>
    <xf numFmtId="22" fontId="0" fillId="0" borderId="0" xfId="0" applyNumberFormat="1"/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4" borderId="0" xfId="0" applyFill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i.michael@complany.com" TargetMode="External"/><Relationship Id="rId2" Type="http://schemas.openxmlformats.org/officeDocument/2006/relationships/hyperlink" Target="mailto:i.sarah@complany.com" TargetMode="External"/><Relationship Id="rId1" Type="http://schemas.openxmlformats.org/officeDocument/2006/relationships/hyperlink" Target="mailto:s.jho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A3AF-423D-433E-B0CB-1513BC845D19}">
  <dimension ref="A1:N10"/>
  <sheetViews>
    <sheetView tabSelected="1" workbookViewId="0">
      <selection activeCell="H13" sqref="H13"/>
    </sheetView>
  </sheetViews>
  <sheetFormatPr defaultRowHeight="14.4" x14ac:dyDescent="0.3"/>
  <sheetData>
    <row r="1" spans="1:14" ht="15.6" x14ac:dyDescent="0.3">
      <c r="A1" t="s">
        <v>0</v>
      </c>
      <c r="B1">
        <v>2025</v>
      </c>
      <c r="C1">
        <v>2026</v>
      </c>
      <c r="I1" s="13" t="s">
        <v>91</v>
      </c>
      <c r="J1" s="13"/>
      <c r="K1" s="13"/>
    </row>
    <row r="2" spans="1:14" ht="15.6" x14ac:dyDescent="0.3">
      <c r="A2" t="s">
        <v>1</v>
      </c>
      <c r="B2">
        <v>80</v>
      </c>
      <c r="C2">
        <v>31</v>
      </c>
      <c r="I2" s="18"/>
      <c r="J2" s="18"/>
      <c r="K2" s="18"/>
    </row>
    <row r="3" spans="1:14" x14ac:dyDescent="0.3">
      <c r="A3" t="s">
        <v>2</v>
      </c>
      <c r="B3">
        <v>12</v>
      </c>
      <c r="C3">
        <v>42</v>
      </c>
    </row>
    <row r="4" spans="1:14" x14ac:dyDescent="0.3">
      <c r="A4" t="s">
        <v>3</v>
      </c>
      <c r="B4">
        <v>69</v>
      </c>
      <c r="C4">
        <v>26</v>
      </c>
    </row>
    <row r="5" spans="1:14" x14ac:dyDescent="0.3">
      <c r="A5" t="s">
        <v>1</v>
      </c>
      <c r="B5">
        <v>47</v>
      </c>
      <c r="C5">
        <v>20</v>
      </c>
      <c r="K5">
        <v>1</v>
      </c>
    </row>
    <row r="6" spans="1:14" x14ac:dyDescent="0.3">
      <c r="A6" t="s">
        <v>2</v>
      </c>
      <c r="B6">
        <v>68</v>
      </c>
      <c r="C6">
        <v>29</v>
      </c>
      <c r="K6">
        <v>3</v>
      </c>
    </row>
    <row r="7" spans="1:14" x14ac:dyDescent="0.3">
      <c r="A7" t="s">
        <v>3</v>
      </c>
      <c r="B7">
        <v>16</v>
      </c>
      <c r="C7">
        <v>22</v>
      </c>
      <c r="K7">
        <v>3</v>
      </c>
    </row>
    <row r="8" spans="1:14" x14ac:dyDescent="0.3">
      <c r="A8" t="s">
        <v>1</v>
      </c>
      <c r="B8">
        <v>33</v>
      </c>
      <c r="C8">
        <v>39</v>
      </c>
      <c r="K8">
        <v>4</v>
      </c>
      <c r="N8">
        <f>AVERAGE(NEW_RANGE)</f>
        <v>3.4</v>
      </c>
    </row>
    <row r="9" spans="1:14" x14ac:dyDescent="0.3">
      <c r="A9" t="s">
        <v>2</v>
      </c>
      <c r="B9">
        <v>68</v>
      </c>
      <c r="C9">
        <v>43</v>
      </c>
      <c r="K9">
        <v>6</v>
      </c>
    </row>
    <row r="10" spans="1:14" x14ac:dyDescent="0.3">
      <c r="A10" t="s">
        <v>3</v>
      </c>
      <c r="B10">
        <v>32</v>
      </c>
      <c r="C10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8AF9-4852-430B-B384-6FBE5B37E69A}">
  <dimension ref="A1:L28"/>
  <sheetViews>
    <sheetView topLeftCell="A2" workbookViewId="0">
      <selection activeCell="R11" sqref="R11"/>
    </sheetView>
  </sheetViews>
  <sheetFormatPr defaultRowHeight="14.4" x14ac:dyDescent="0.3"/>
  <cols>
    <col min="1" max="1" width="17.44140625" customWidth="1"/>
    <col min="11" max="11" width="14.77734375" bestFit="1" customWidth="1"/>
  </cols>
  <sheetData>
    <row r="1" spans="1:12" ht="25.8" x14ac:dyDescent="0.5">
      <c r="I1" s="2"/>
      <c r="J1" s="15" t="s">
        <v>4</v>
      </c>
      <c r="K1" s="15"/>
      <c r="L1" s="16"/>
    </row>
    <row r="2" spans="1:12" ht="21" x14ac:dyDescent="0.4">
      <c r="I2" s="2"/>
      <c r="J2" s="2"/>
      <c r="K2" s="2"/>
    </row>
    <row r="3" spans="1:12" ht="21" x14ac:dyDescent="0.4">
      <c r="A3" s="3" t="s">
        <v>5</v>
      </c>
      <c r="I3" s="2"/>
      <c r="J3" s="2"/>
      <c r="K3" s="2"/>
    </row>
    <row r="4" spans="1:12" ht="21" x14ac:dyDescent="0.4">
      <c r="I4" s="2"/>
      <c r="J4" s="2"/>
      <c r="K4" s="2"/>
    </row>
    <row r="6" spans="1:12" x14ac:dyDescent="0.3">
      <c r="A6" s="12" t="s">
        <v>90</v>
      </c>
      <c r="B6" s="12"/>
      <c r="K6" s="17" t="s">
        <v>17</v>
      </c>
    </row>
    <row r="7" spans="1:12" x14ac:dyDescent="0.3">
      <c r="A7" t="s">
        <v>6</v>
      </c>
      <c r="D7" t="s">
        <v>7</v>
      </c>
      <c r="K7">
        <f>LEN(A3)</f>
        <v>18</v>
      </c>
    </row>
    <row r="8" spans="1:12" x14ac:dyDescent="0.3">
      <c r="A8" t="s">
        <v>8</v>
      </c>
      <c r="D8" t="s">
        <v>9</v>
      </c>
      <c r="K8" t="str">
        <f>TRIM(A3)</f>
        <v>PrIya KaRThik</v>
      </c>
    </row>
    <row r="9" spans="1:12" x14ac:dyDescent="0.3">
      <c r="A9" t="s">
        <v>10</v>
      </c>
      <c r="D9" t="s">
        <v>11</v>
      </c>
      <c r="K9" t="str">
        <f>UPPER(A3)</f>
        <v xml:space="preserve">    PRIYA  KARTHIK</v>
      </c>
    </row>
    <row r="10" spans="1:12" x14ac:dyDescent="0.3">
      <c r="A10" t="s">
        <v>12</v>
      </c>
      <c r="D10" t="s">
        <v>13</v>
      </c>
      <c r="K10" t="str">
        <f>LOWER(A3)</f>
        <v xml:space="preserve">    priya  karthik</v>
      </c>
    </row>
    <row r="11" spans="1:12" x14ac:dyDescent="0.3">
      <c r="A11" t="s">
        <v>14</v>
      </c>
      <c r="D11" t="s">
        <v>15</v>
      </c>
      <c r="G11" t="s">
        <v>16</v>
      </c>
      <c r="K11" t="str">
        <f>PROPER(A3)</f>
        <v xml:space="preserve">    Priya  Karthik</v>
      </c>
    </row>
    <row r="14" spans="1:12" x14ac:dyDescent="0.3">
      <c r="A14" s="12" t="s">
        <v>18</v>
      </c>
      <c r="B14" s="12"/>
      <c r="C14" s="12"/>
    </row>
    <row r="16" spans="1:12" x14ac:dyDescent="0.3">
      <c r="A16" s="4" t="s">
        <v>19</v>
      </c>
    </row>
    <row r="18" spans="1:11" x14ac:dyDescent="0.3">
      <c r="K18" s="5" t="s">
        <v>26</v>
      </c>
    </row>
    <row r="19" spans="1:11" x14ac:dyDescent="0.3">
      <c r="A19" t="s">
        <v>20</v>
      </c>
      <c r="D19" t="s">
        <v>21</v>
      </c>
      <c r="K19" t="str">
        <f>LEFT(A16,6)</f>
        <v>Krithi</v>
      </c>
    </row>
    <row r="20" spans="1:11" x14ac:dyDescent="0.3">
      <c r="A20" t="s">
        <v>22</v>
      </c>
      <c r="D20" t="s">
        <v>23</v>
      </c>
      <c r="K20" t="str">
        <f>RIGHT(A16,7)</f>
        <v>k Aryan</v>
      </c>
    </row>
    <row r="21" spans="1:11" x14ac:dyDescent="0.3">
      <c r="A21" t="s">
        <v>24</v>
      </c>
      <c r="D21" t="s">
        <v>25</v>
      </c>
      <c r="K21" t="str">
        <f>MID(A16,3,7)</f>
        <v>ithik A</v>
      </c>
    </row>
    <row r="23" spans="1:11" x14ac:dyDescent="0.3">
      <c r="A23" t="s">
        <v>27</v>
      </c>
      <c r="D23" t="s">
        <v>28</v>
      </c>
      <c r="K23">
        <f>FIND("a",A16)</f>
        <v>12</v>
      </c>
    </row>
    <row r="24" spans="1:11" x14ac:dyDescent="0.3">
      <c r="A24" t="s">
        <v>30</v>
      </c>
      <c r="D24" t="s">
        <v>29</v>
      </c>
      <c r="K24">
        <f>SEARCH("a",A16,10)</f>
        <v>12</v>
      </c>
    </row>
    <row r="25" spans="1:11" x14ac:dyDescent="0.3">
      <c r="A25" t="s">
        <v>31</v>
      </c>
      <c r="D25" t="s">
        <v>32</v>
      </c>
      <c r="K25" t="str">
        <f>REPLACE(A16,8,6,"saswika")</f>
        <v>Krithiksaswika</v>
      </c>
    </row>
    <row r="27" spans="1:11" x14ac:dyDescent="0.3">
      <c r="A27" t="s">
        <v>34</v>
      </c>
      <c r="K27" t="str">
        <f>SUBSTITUTE("AMUTHA",A16,A3,7)</f>
        <v>AMUTHA</v>
      </c>
    </row>
    <row r="28" spans="1:11" x14ac:dyDescent="0.3">
      <c r="A28" t="s">
        <v>35</v>
      </c>
      <c r="E28" t="s">
        <v>33</v>
      </c>
      <c r="K28" t="str">
        <f>CONCATENATE(A16,A3)</f>
        <v>Krithik Aryan    PrIya  KaRThik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941A-BCBD-4C2B-BB74-E83F4DA68D19}">
  <dimension ref="A1:J17"/>
  <sheetViews>
    <sheetView workbookViewId="0">
      <selection activeCell="H10" sqref="H10"/>
    </sheetView>
  </sheetViews>
  <sheetFormatPr defaultRowHeight="14.4" x14ac:dyDescent="0.3"/>
  <cols>
    <col min="3" max="3" width="15.33203125" bestFit="1" customWidth="1"/>
    <col min="8" max="8" width="10.33203125" bestFit="1" customWidth="1"/>
  </cols>
  <sheetData>
    <row r="1" spans="1:10" ht="21" x14ac:dyDescent="0.4">
      <c r="G1" s="1"/>
      <c r="H1" s="8" t="s">
        <v>36</v>
      </c>
      <c r="I1" s="8"/>
      <c r="J1" s="1"/>
    </row>
    <row r="2" spans="1:10" ht="15.6" x14ac:dyDescent="0.3">
      <c r="A2" s="9" t="s">
        <v>39</v>
      </c>
      <c r="B2" s="9"/>
      <c r="C2" s="9"/>
      <c r="G2" s="1"/>
      <c r="H2" s="1"/>
      <c r="I2" s="1"/>
      <c r="J2" s="1"/>
    </row>
    <row r="4" spans="1:10" x14ac:dyDescent="0.3">
      <c r="A4" t="s">
        <v>37</v>
      </c>
      <c r="C4" s="6">
        <f ca="1">TODAY()</f>
        <v>46324</v>
      </c>
      <c r="H4" s="6">
        <v>44133</v>
      </c>
    </row>
    <row r="5" spans="1:10" x14ac:dyDescent="0.3">
      <c r="A5" t="s">
        <v>38</v>
      </c>
      <c r="C5" s="7">
        <f ca="1">NOW()</f>
        <v>46324.707299421294</v>
      </c>
    </row>
    <row r="7" spans="1:10" ht="15.6" x14ac:dyDescent="0.3">
      <c r="A7" s="10" t="s">
        <v>40</v>
      </c>
      <c r="B7" s="10"/>
      <c r="C7" s="10"/>
    </row>
    <row r="9" spans="1:10" x14ac:dyDescent="0.3">
      <c r="A9" t="s">
        <v>41</v>
      </c>
      <c r="C9">
        <f ca="1">YEAR(C4)</f>
        <v>2026</v>
      </c>
    </row>
    <row r="10" spans="1:10" x14ac:dyDescent="0.3">
      <c r="A10" t="s">
        <v>42</v>
      </c>
      <c r="C10">
        <f ca="1">MONTH(C4)</f>
        <v>10</v>
      </c>
    </row>
    <row r="11" spans="1:10" x14ac:dyDescent="0.3">
      <c r="A11" t="s">
        <v>43</v>
      </c>
      <c r="C11">
        <f ca="1">DAY(C4)</f>
        <v>29</v>
      </c>
    </row>
    <row r="12" spans="1:10" x14ac:dyDescent="0.3">
      <c r="A12" t="s">
        <v>44</v>
      </c>
      <c r="C12">
        <f ca="1">WEEKDAY(TODAY(),2)</f>
        <v>4</v>
      </c>
    </row>
    <row r="13" spans="1:10" x14ac:dyDescent="0.3">
      <c r="A13" t="s">
        <v>45</v>
      </c>
      <c r="C13">
        <f ca="1">WEEKNUM(C4)</f>
        <v>44</v>
      </c>
    </row>
    <row r="14" spans="1:10" x14ac:dyDescent="0.3">
      <c r="A14" t="s">
        <v>46</v>
      </c>
      <c r="C14" t="str">
        <f ca="1">TEXT(C4,"MMMM")</f>
        <v>October</v>
      </c>
      <c r="D14" t="str">
        <f ca="1">TEXT(C4,"DDDD")</f>
        <v>Thursday</v>
      </c>
      <c r="E14" t="str">
        <f ca="1">TEXT(C4,"DD")</f>
        <v>29</v>
      </c>
      <c r="F14" t="str">
        <f ca="1">TEXT(C4,"DDD")</f>
        <v>Thu</v>
      </c>
    </row>
    <row r="16" spans="1:10" x14ac:dyDescent="0.3">
      <c r="A16" t="s">
        <v>47</v>
      </c>
      <c r="C16">
        <f ca="1">DATEDIF(H4,C4,"Y")</f>
        <v>6</v>
      </c>
    </row>
    <row r="17" spans="1:3" x14ac:dyDescent="0.3">
      <c r="A17" t="s">
        <v>89</v>
      </c>
      <c r="C17">
        <f>EDATE(1,3)</f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828B-80FA-4552-B306-EEE09AE67C0E}">
  <dimension ref="A1:J21"/>
  <sheetViews>
    <sheetView workbookViewId="0">
      <selection activeCell="M6" sqref="M6"/>
    </sheetView>
  </sheetViews>
  <sheetFormatPr defaultRowHeight="14.4" x14ac:dyDescent="0.3"/>
  <cols>
    <col min="2" max="2" width="12.6640625" bestFit="1" customWidth="1"/>
    <col min="3" max="3" width="17.6640625" bestFit="1" customWidth="1"/>
    <col min="4" max="4" width="9.77734375" bestFit="1" customWidth="1"/>
    <col min="6" max="6" width="23.33203125" bestFit="1" customWidth="1"/>
  </cols>
  <sheetData>
    <row r="1" spans="1:10" x14ac:dyDescent="0.3">
      <c r="A1" t="s">
        <v>48</v>
      </c>
      <c r="B1" t="s">
        <v>49</v>
      </c>
      <c r="C1" t="s">
        <v>50</v>
      </c>
      <c r="D1" t="s">
        <v>57</v>
      </c>
      <c r="E1" t="s">
        <v>58</v>
      </c>
      <c r="F1" t="s">
        <v>59</v>
      </c>
    </row>
    <row r="2" spans="1:10" x14ac:dyDescent="0.3">
      <c r="A2">
        <v>1</v>
      </c>
      <c r="B2" t="s">
        <v>51</v>
      </c>
      <c r="C2" t="s">
        <v>54</v>
      </c>
      <c r="D2" t="s">
        <v>60</v>
      </c>
      <c r="E2" t="s">
        <v>63</v>
      </c>
      <c r="F2" s="11" t="s">
        <v>66</v>
      </c>
    </row>
    <row r="3" spans="1:10" ht="23.4" x14ac:dyDescent="0.45">
      <c r="A3">
        <v>2</v>
      </c>
      <c r="B3" t="s">
        <v>52</v>
      </c>
      <c r="C3" t="s">
        <v>55</v>
      </c>
      <c r="D3" t="s">
        <v>61</v>
      </c>
      <c r="E3" t="s">
        <v>64</v>
      </c>
      <c r="F3" s="11" t="s">
        <v>67</v>
      </c>
      <c r="J3" s="14" t="s">
        <v>88</v>
      </c>
    </row>
    <row r="4" spans="1:10" x14ac:dyDescent="0.3">
      <c r="A4">
        <v>3</v>
      </c>
      <c r="B4" t="s">
        <v>53</v>
      </c>
      <c r="C4" t="s">
        <v>56</v>
      </c>
      <c r="D4" t="s">
        <v>62</v>
      </c>
      <c r="E4" t="s">
        <v>65</v>
      </c>
      <c r="F4" s="11" t="s">
        <v>68</v>
      </c>
    </row>
    <row r="6" spans="1:10" x14ac:dyDescent="0.3">
      <c r="C6" s="1" t="s">
        <v>86</v>
      </c>
      <c r="F6" t="s">
        <v>87</v>
      </c>
    </row>
    <row r="7" spans="1:10" x14ac:dyDescent="0.3">
      <c r="C7" t="s">
        <v>69</v>
      </c>
      <c r="F7" t="s">
        <v>73</v>
      </c>
    </row>
    <row r="8" spans="1:10" x14ac:dyDescent="0.3">
      <c r="C8" t="s">
        <v>70</v>
      </c>
      <c r="F8" t="s">
        <v>74</v>
      </c>
    </row>
    <row r="9" spans="1:10" x14ac:dyDescent="0.3">
      <c r="C9" t="s">
        <v>71</v>
      </c>
      <c r="F9" t="s">
        <v>75</v>
      </c>
    </row>
    <row r="10" spans="1:10" x14ac:dyDescent="0.3">
      <c r="C10" t="s">
        <v>72</v>
      </c>
      <c r="F10" t="s">
        <v>76</v>
      </c>
    </row>
    <row r="11" spans="1:10" x14ac:dyDescent="0.3">
      <c r="F11" t="s">
        <v>77</v>
      </c>
    </row>
    <row r="12" spans="1:10" x14ac:dyDescent="0.3">
      <c r="F12" t="s">
        <v>78</v>
      </c>
    </row>
    <row r="13" spans="1:10" x14ac:dyDescent="0.3">
      <c r="C13" t="s">
        <v>69</v>
      </c>
      <c r="F13" t="s">
        <v>79</v>
      </c>
    </row>
    <row r="14" spans="1:10" x14ac:dyDescent="0.3">
      <c r="C14" t="s">
        <v>71</v>
      </c>
      <c r="F14" t="s">
        <v>80</v>
      </c>
    </row>
    <row r="15" spans="1:10" x14ac:dyDescent="0.3">
      <c r="C15" t="s">
        <v>85</v>
      </c>
      <c r="F15" t="s">
        <v>81</v>
      </c>
    </row>
    <row r="16" spans="1:10" x14ac:dyDescent="0.3">
      <c r="C16" t="s">
        <v>72</v>
      </c>
      <c r="F16" t="s">
        <v>82</v>
      </c>
    </row>
    <row r="17" spans="3:6" x14ac:dyDescent="0.3">
      <c r="C17" t="s">
        <v>69</v>
      </c>
      <c r="F17" t="s">
        <v>83</v>
      </c>
    </row>
    <row r="18" spans="3:6" x14ac:dyDescent="0.3">
      <c r="C18" t="s">
        <v>71</v>
      </c>
      <c r="F18" t="s">
        <v>84</v>
      </c>
    </row>
    <row r="19" spans="3:6" x14ac:dyDescent="0.3">
      <c r="F19" t="s">
        <v>73</v>
      </c>
    </row>
    <row r="20" spans="3:6" x14ac:dyDescent="0.3">
      <c r="F20" t="s">
        <v>74</v>
      </c>
    </row>
    <row r="21" spans="3:6" x14ac:dyDescent="0.3">
      <c r="F21" t="s">
        <v>75</v>
      </c>
    </row>
  </sheetData>
  <phoneticPr fontId="9" type="noConversion"/>
  <hyperlinks>
    <hyperlink ref="F2" r:id="rId1" xr:uid="{FC05ED03-3433-4B45-A653-C31A89FEE62F}"/>
    <hyperlink ref="F3" r:id="rId2" xr:uid="{DECB12D8-1C90-4203-A6C7-F736E9DB4018}"/>
    <hyperlink ref="F4" r:id="rId3" xr:uid="{77C17829-45EC-403F-A08B-AB0A375837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NEW_RANGE</vt:lpstr>
      <vt:lpstr>PRODUCT</vt:lpstr>
      <vt:lpstr>SALES_</vt:lpstr>
      <vt:lpstr>SALES_2025</vt:lpstr>
      <vt:lpstr>SALES_2026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kabir</dc:creator>
  <cp:lastModifiedBy>priya kabir</cp:lastModifiedBy>
  <dcterms:created xsi:type="dcterms:W3CDTF">2026-10-28T06:42:30Z</dcterms:created>
  <dcterms:modified xsi:type="dcterms:W3CDTF">2026-10-29T11:29:38Z</dcterms:modified>
</cp:coreProperties>
</file>